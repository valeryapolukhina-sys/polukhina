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ализ баланс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<sst xmlns="http://schemas.openxmlformats.org/spreadsheetml/2006/main" count="38" uniqueCount="31">
  <si>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 xml:space="preserve">Анализ состава, структуры и динамики активов и источников их формирования</t>
  </si>
  <si>
    <t xml:space="preserve">Показатели</t>
  </si>
  <si>
    <t xml:space="preserve">2019 год</t>
  </si>
  <si>
    <t xml:space="preserve">2020 год</t>
  </si>
  <si>
    <t xml:space="preserve">2021 год</t>
  </si>
  <si>
    <t xml:space="preserve">Абсолютные изменения, тыс. руб.</t>
  </si>
  <si>
    <t xml:space="preserve">Абсолютные изменения удельного веса, % (+,-)</t>
  </si>
  <si>
    <t xml:space="preserve">Темп роста,%</t>
  </si>
  <si>
    <t xml:space="preserve">тыс.руб.</t>
  </si>
  <si>
    <t xml:space="preserve">удельный вес,%</t>
  </si>
  <si>
    <t xml:space="preserve">2020 г. к 2019 г.</t>
  </si>
  <si>
    <t xml:space="preserve">2021 г. к 2020 г.</t>
  </si>
  <si>
    <t xml:space="preserve">2020г. к 2019г.</t>
  </si>
  <si>
    <t xml:space="preserve">2021г. к 2020г.</t>
  </si>
  <si>
    <t xml:space="preserve">Активы</t>
  </si>
  <si>
    <t xml:space="preserve">Внеоборотные активы, в т.ч.</t>
  </si>
  <si>
    <t xml:space="preserve">Нематериальные активы</t>
  </si>
  <si>
    <t xml:space="preserve">Основные средства</t>
  </si>
  <si>
    <t xml:space="preserve">Оборотные активы, в т.ч.</t>
  </si>
  <si>
    <t xml:space="preserve">Запасы</t>
  </si>
  <si>
    <t xml:space="preserve">Дебиторская задолженность</t>
  </si>
  <si>
    <t xml:space="preserve">Денежные средства и денежные эквиваленты </t>
  </si>
  <si>
    <t xml:space="preserve">БАЛАНС</t>
  </si>
  <si>
    <t xml:space="preserve">Пассивы</t>
  </si>
  <si>
    <t xml:space="preserve">Капитал и резервы, в т.ч.</t>
  </si>
  <si>
    <t xml:space="preserve">Уставный капитал</t>
  </si>
  <si>
    <t xml:space="preserve">Нераспределенная прибыль</t>
  </si>
  <si>
    <t xml:space="preserve">Долгосрочные обязательства</t>
  </si>
  <si>
    <t xml:space="preserve">Краткосрочные обязательства,в т.ч. </t>
  </si>
  <si>
    <t xml:space="preserve">Заемные средства</t>
  </si>
  <si>
    <t xml:space="preserve">Кредиторская задолженность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</si>
</sst>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0%"/>
  </numFmts>
  <fonts count="10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 val="true"/>
      <sz val="11"/>
      <color theme="1"/>
      <name val="Times New Roman"/>
      <family val="1"/>
      <charset val="204"/>
    </font>
    <font>
      <sz val="13"/>
      <name val="Open Sans"/>
      <family val="2"/>
    </font>
    <font>
      <sz val="10"/>
      <name val="Open Sans"/>
      <family val="2"/>
    </font>
    <font>
      <sz val="9"/>
      <name val="Open Sans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Open Sans"/>
              </a:defRPr>
            </a:pPr>
            <a:r>
              <a:rPr b="0" sz="1300" strike="noStrike" u="none">
                <a:uFillTx/>
                <a:latin typeface="Open Sans"/>
              </a:rPr>
              <a:t>2021</a:t>
            </a:r>
          </a:p>
        </c:rich>
      </c:tx>
      <c:layout>
        <c:manualLayout>
          <c:xMode val="edge"/>
          <c:yMode val="edge"/>
          <c:x val="0.669622782912815"/>
          <c:y val="0.72909799220857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31084879146"/>
          <c:y val="0.0438061938061938"/>
          <c:w val="0.603522578227469"/>
          <c:h val="0.670429570429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Open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'Анализ баланса'!$B$13,'Анализ баланса'!$D$13,'Анализ баланса'!$F$13</c:f>
              <c:numCache>
                <c:formatCode>0</c:formatCode>
                <c:ptCount val="3"/>
                <c:pt idx="0">
                  <c:v>90043</c:v>
                </c:pt>
                <c:pt idx="1">
                  <c:v>109140</c:v>
                </c:pt>
                <c:pt idx="2">
                  <c:v>111395</c:v>
                </c:pt>
              </c:numCache>
            </c:numRef>
          </c:val>
        </c:ser>
        <c:gapWidth val="100"/>
        <c:overlap val="0"/>
        <c:axId val="6457811"/>
        <c:axId val="20041354"/>
      </c:barChart>
      <c:catAx>
        <c:axId val="64578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Open Sans"/>
                  </a:defRPr>
                </a:pPr>
                <a:r>
                  <a:rPr b="0" sz="900" strike="noStrike" u="none">
                    <a:uFillTx/>
                    <a:latin typeface="Open Sans"/>
                  </a:rPr>
                  <a:t>2019</a:t>
                </a:r>
              </a:p>
            </c:rich>
          </c:tx>
          <c:layout>
            <c:manualLayout>
              <c:xMode val="edge"/>
              <c:yMode val="edge"/>
              <c:x val="0.0813140144891332"/>
              <c:y val="0.72899810208770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Open Sans"/>
              </a:defRPr>
            </a:pPr>
          </a:p>
        </c:txPr>
        <c:crossAx val="20041354"/>
        <c:crosses val="autoZero"/>
        <c:auto val="1"/>
        <c:lblAlgn val="ctr"/>
        <c:lblOffset val="100"/>
        <c:noMultiLvlLbl val="0"/>
      </c:catAx>
      <c:valAx>
        <c:axId val="200413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Open Sans"/>
              </a:defRPr>
            </a:pPr>
          </a:p>
        </c:txPr>
        <c:crossAx val="645781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Open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437760</xdr:colOff>
      <xdr:row>2</xdr:row>
      <xdr:rowOff>178200</xdr:rowOff>
    </xdr:from>
    <xdr:to>
      <xdr:col>23</xdr:col>
      <xdr:colOff>86400</xdr:colOff>
      <xdr:row>20</xdr:row>
      <xdr:rowOff>89640</xdr:rowOff>
    </xdr:to>
    <xdr:graphicFrame>
      <xdr:nvGraphicFramePr>
        <xdr:cNvPr id="0" name=""/>
        <xdr:cNvGraphicFramePr/>
      </xdr:nvGraphicFramePr>
      <xdr:xfrm>
        <a:off x="11839680" y="798480"/>
        <a:ext cx="5763960" cy="360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.29"/>
    <col collapsed="false" customWidth="true" hidden="false" outlineLevel="0" max="2" min="2" style="0" width="9.57"/>
    <col collapsed="false" customWidth="true" hidden="false" outlineLevel="0" max="3" min="3" style="0" width="10.85"/>
    <col collapsed="false" customWidth="true" hidden="false" outlineLevel="0" max="4" min="4" style="0" width="9.57"/>
    <col collapsed="false" customWidth="true" hidden="false" outlineLevel="0" max="5" min="5" style="0" width="10.85"/>
    <col collapsed="false" customWidth="true" hidden="false" outlineLevel="0" max="7" min="7" style="0" width="11.29"/>
    <col collapsed="false" customWidth="true" hidden="false" outlineLevel="0" max="8" min="8" style="0" width="9.71"/>
    <col collapsed="false" customWidth="true" hidden="false" outlineLevel="0" max="9" min="9" style="0" width="10.57"/>
    <col collapsed="false" customWidth="true" hidden="false" outlineLevel="0" max="10" min="10" style="0" width="12"/>
    <col collapsed="false" customWidth="true" hidden="false" outlineLevel="0" max="11" min="11" style="0" width="12.29"/>
    <col collapsed="false" customWidth="true" hidden="false" outlineLevel="0" max="13" min="13" style="0" width="9.4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2" t="s">
        <v>1</v>
      </c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  <c r="I2" s="3"/>
      <c r="J2" s="3" t="s">
        <v>6</v>
      </c>
      <c r="K2" s="3"/>
      <c r="L2" s="3" t="s">
        <v>7</v>
      </c>
      <c r="M2" s="3"/>
    </row>
    <row r="3" customFormat="false" ht="25.35" hidden="false" customHeight="false" outlineLevel="0" collapsed="false">
      <c r="A3" s="2"/>
      <c r="B3" s="3" t="s">
        <v>8</v>
      </c>
      <c r="C3" s="3" t="s">
        <v>9</v>
      </c>
      <c r="D3" s="3" t="s">
        <v>8</v>
      </c>
      <c r="E3" s="3" t="s">
        <v>9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12</v>
      </c>
      <c r="M3" s="3" t="s">
        <v>13</v>
      </c>
    </row>
    <row r="4" customFormat="false" ht="15" hidden="false" customHeight="false" outlineLevel="0" collapsed="false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</row>
    <row r="5" customFormat="false" ht="15" hidden="false" customHeight="false" outlineLevel="0" collapsed="false">
      <c r="A5" s="4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6" t="s">
        <v>15</v>
      </c>
      <c r="B6" s="7"/>
      <c r="C6" s="8"/>
      <c r="D6" s="7"/>
      <c r="E6" s="8"/>
      <c r="F6" s="4"/>
      <c r="G6" s="9"/>
      <c r="H6" s="4"/>
      <c r="I6" s="7"/>
      <c r="J6" s="4"/>
      <c r="K6" s="8"/>
      <c r="L6" s="4"/>
      <c r="M6" s="9"/>
      <c r="N6" s="10"/>
    </row>
    <row r="7" customFormat="false" ht="15" hidden="false" customHeight="false" outlineLevel="0" collapsed="false">
      <c r="A7" s="5" t="s">
        <v>16</v>
      </c>
      <c r="B7" s="11" t="n">
        <v>0</v>
      </c>
      <c r="C7" s="12"/>
      <c r="D7" s="11" t="n">
        <v>0</v>
      </c>
      <c r="E7" s="12"/>
      <c r="F7" s="2" t="n">
        <v>85</v>
      </c>
      <c r="G7" s="12" t="n">
        <f aca="false">F7/F13*100</f>
        <v>0.0763050406212128</v>
      </c>
      <c r="H7" s="11"/>
      <c r="I7" s="11" t="n">
        <v>85</v>
      </c>
      <c r="J7" s="2"/>
      <c r="K7" s="2"/>
      <c r="L7" s="2"/>
      <c r="M7" s="13"/>
      <c r="N7" s="10"/>
    </row>
    <row r="8" customFormat="false" ht="15" hidden="false" customHeight="false" outlineLevel="0" collapsed="false">
      <c r="A8" s="5" t="s">
        <v>17</v>
      </c>
      <c r="B8" s="11" t="n">
        <v>354</v>
      </c>
      <c r="C8" s="12" t="n">
        <f aca="false">B8/B13*100</f>
        <v>0.393145497151361</v>
      </c>
      <c r="D8" s="11" t="n">
        <v>218</v>
      </c>
      <c r="E8" s="12" t="n">
        <f aca="false">D8/D13*100</f>
        <v>0.199743448781382</v>
      </c>
      <c r="F8" s="2" t="n">
        <v>1160</v>
      </c>
      <c r="G8" s="12" t="n">
        <f aca="false">F8/F13*100</f>
        <v>1.04133937788949</v>
      </c>
      <c r="H8" s="2" t="n">
        <f aca="false">D8-B8</f>
        <v>-136</v>
      </c>
      <c r="I8" s="11" t="n">
        <f aca="false">F8-D8</f>
        <v>942</v>
      </c>
      <c r="J8" s="12" t="n">
        <f aca="false">E8-C8</f>
        <v>-0.193402048369979</v>
      </c>
      <c r="K8" s="12" t="n">
        <f aca="false">G8-E8</f>
        <v>0.841595929108111</v>
      </c>
      <c r="L8" s="2" t="n">
        <f aca="false">D8/B8*100</f>
        <v>61.5819209039548</v>
      </c>
      <c r="M8" s="12" t="n">
        <f aca="false">F8/D8*100</f>
        <v>532.110091743119</v>
      </c>
      <c r="N8" s="10"/>
    </row>
    <row r="9" customFormat="false" ht="15" hidden="false" customHeight="false" outlineLevel="0" collapsed="false">
      <c r="A9" s="6" t="s">
        <v>18</v>
      </c>
      <c r="B9" s="7"/>
      <c r="C9" s="8"/>
      <c r="D9" s="7"/>
      <c r="E9" s="8"/>
      <c r="F9" s="4"/>
      <c r="G9" s="8"/>
      <c r="H9" s="4"/>
      <c r="I9" s="7"/>
      <c r="J9" s="8"/>
      <c r="K9" s="8"/>
      <c r="L9" s="4"/>
      <c r="M9" s="8"/>
      <c r="N9" s="10"/>
    </row>
    <row r="10" customFormat="false" ht="15" hidden="false" customHeight="false" outlineLevel="0" collapsed="false">
      <c r="A10" s="5" t="s">
        <v>19</v>
      </c>
      <c r="B10" s="11" t="n">
        <v>18996</v>
      </c>
      <c r="C10" s="12" t="n">
        <f aca="false">B10/B13*100</f>
        <v>21.0965871861222</v>
      </c>
      <c r="D10" s="11" t="n">
        <v>23548</v>
      </c>
      <c r="E10" s="12" t="n">
        <f aca="false">D10/D13*100</f>
        <v>21.5759574857981</v>
      </c>
      <c r="F10" s="2" t="n">
        <v>33248</v>
      </c>
      <c r="G10" s="12" t="n">
        <f aca="false">F10/F13*100</f>
        <v>29.8469410655774</v>
      </c>
      <c r="H10" s="2" t="n">
        <f aca="false">D10-B10</f>
        <v>4552</v>
      </c>
      <c r="I10" s="11" t="n">
        <f aca="false">F10-D10</f>
        <v>9700</v>
      </c>
      <c r="J10" s="12" t="n">
        <f aca="false">E10-C10</f>
        <v>0.479370299675871</v>
      </c>
      <c r="K10" s="12" t="n">
        <f aca="false">G10-E10</f>
        <v>8.27098357977939</v>
      </c>
      <c r="L10" s="2" t="n">
        <f aca="false">D10/B10*100</f>
        <v>123.962939566224</v>
      </c>
      <c r="M10" s="12" t="n">
        <f aca="false">F10/D10*100</f>
        <v>141.192457958213</v>
      </c>
      <c r="N10" s="10"/>
    </row>
    <row r="11" customFormat="false" ht="15" hidden="false" customHeight="false" outlineLevel="0" collapsed="false">
      <c r="A11" s="5" t="s">
        <v>20</v>
      </c>
      <c r="B11" s="11" t="n">
        <v>70582</v>
      </c>
      <c r="C11" s="12" t="n">
        <f aca="false">B11/B13*100</f>
        <v>78.386992881179</v>
      </c>
      <c r="D11" s="11" t="n">
        <v>85219</v>
      </c>
      <c r="E11" s="12" t="n">
        <f aca="false">D11/D13*100</f>
        <v>78.0822796408283</v>
      </c>
      <c r="F11" s="2" t="n">
        <v>70711</v>
      </c>
      <c r="G11" s="12" t="n">
        <f aca="false">F11/F13*100</f>
        <v>63.4777144396068</v>
      </c>
      <c r="H11" s="2" t="n">
        <f aca="false">D11-B11</f>
        <v>14637</v>
      </c>
      <c r="I11" s="11" t="n">
        <f aca="false">F11-D11</f>
        <v>-14508</v>
      </c>
      <c r="J11" s="12" t="n">
        <f aca="false">E11-C11</f>
        <v>-0.304713240350708</v>
      </c>
      <c r="K11" s="12" t="n">
        <f aca="false">G11-E10</f>
        <v>41.9017569538087</v>
      </c>
      <c r="L11" s="2" t="n">
        <f aca="false">D11/B11*100</f>
        <v>120.737581819727</v>
      </c>
      <c r="M11" s="12" t="n">
        <f aca="false">F11/D11*100</f>
        <v>82.9756275009094</v>
      </c>
      <c r="N11" s="10"/>
    </row>
    <row r="12" customFormat="false" ht="25.35" hidden="false" customHeight="false" outlineLevel="0" collapsed="false">
      <c r="A12" s="14" t="s">
        <v>21</v>
      </c>
      <c r="B12" s="11" t="n">
        <f aca="false">SUM(B10:B11)</f>
        <v>89578</v>
      </c>
      <c r="C12" s="12" t="n">
        <f aca="false">B12/B13*100</f>
        <v>99.4835800673012</v>
      </c>
      <c r="D12" s="11" t="n">
        <v>155</v>
      </c>
      <c r="E12" s="12" t="n">
        <f aca="false">D12/D13*100</f>
        <v>0.142019424592267</v>
      </c>
      <c r="F12" s="2" t="n">
        <v>6191</v>
      </c>
      <c r="G12" s="12" t="n">
        <f aca="false">F12/F13*100</f>
        <v>5.55770007630504</v>
      </c>
      <c r="H12" s="2" t="n">
        <f aca="false">D12-B12</f>
        <v>-89423</v>
      </c>
      <c r="I12" s="11" t="n">
        <f aca="false">F12-D12</f>
        <v>6036</v>
      </c>
      <c r="J12" s="12" t="n">
        <f aca="false">E12-C12</f>
        <v>-99.3415606427089</v>
      </c>
      <c r="K12" s="12" t="n">
        <f aca="false">G12-E12</f>
        <v>5.41568065171277</v>
      </c>
      <c r="L12" s="2" t="n">
        <f aca="false">D12/B12*100</f>
        <v>0.17303355734667</v>
      </c>
      <c r="M12" s="12" t="n">
        <f aca="false">F12/D12*100</f>
        <v>3994.1935483871</v>
      </c>
      <c r="N12" s="10"/>
    </row>
    <row r="13" customFormat="false" ht="15" hidden="false" customHeight="false" outlineLevel="0" collapsed="false">
      <c r="A13" s="6" t="s">
        <v>22</v>
      </c>
      <c r="B13" s="7" t="n">
        <v>90043</v>
      </c>
      <c r="C13" s="8" t="n">
        <f aca="false">SUM(C8:C12)</f>
        <v>199.360305631754</v>
      </c>
      <c r="D13" s="7" t="n">
        <v>109140</v>
      </c>
      <c r="E13" s="8" t="n">
        <f aca="false">SUM(E8:E12)</f>
        <v>100</v>
      </c>
      <c r="F13" s="4" t="n">
        <v>111395</v>
      </c>
      <c r="G13" s="8" t="n">
        <f aca="false">SUM(G7:G12)</f>
        <v>100</v>
      </c>
      <c r="H13" s="4" t="n">
        <f aca="false">SUM(H8:H12)</f>
        <v>-70370</v>
      </c>
      <c r="I13" s="7" t="n">
        <f aca="false">SUM(I7:I12)</f>
        <v>2255</v>
      </c>
      <c r="J13" s="8" t="n">
        <f aca="false">SUM(J8:J12)</f>
        <v>-99.3603056317537</v>
      </c>
      <c r="K13" s="8" t="n">
        <f aca="false">SUM(K8:K12)</f>
        <v>56.430017114409</v>
      </c>
      <c r="L13" s="4" t="n">
        <f aca="false">SUM(L8:L12)</f>
        <v>306.455475847253</v>
      </c>
      <c r="M13" s="8" t="n">
        <f aca="false">SUM(M8:M12)</f>
        <v>4750.47172558934</v>
      </c>
      <c r="N13" s="10"/>
    </row>
    <row r="14" customFormat="false" ht="15" hidden="false" customHeight="false" outlineLevel="0" collapsed="false">
      <c r="A14" s="5"/>
      <c r="B14" s="11"/>
      <c r="C14" s="12"/>
      <c r="D14" s="11"/>
      <c r="E14" s="12"/>
      <c r="F14" s="2"/>
      <c r="G14" s="12"/>
      <c r="H14" s="2"/>
      <c r="I14" s="2"/>
      <c r="J14" s="12"/>
      <c r="K14" s="12"/>
      <c r="L14" s="2"/>
      <c r="M14" s="12"/>
      <c r="N14" s="10"/>
    </row>
    <row r="15" customFormat="false" ht="15" hidden="false" customHeight="false" outlineLevel="0" collapsed="false">
      <c r="A15" s="4" t="s">
        <v>23</v>
      </c>
      <c r="B15" s="11"/>
      <c r="C15" s="12"/>
      <c r="D15" s="11"/>
      <c r="E15" s="12"/>
      <c r="F15" s="2"/>
      <c r="G15" s="12"/>
      <c r="H15" s="2"/>
      <c r="I15" s="2"/>
      <c r="J15" s="12"/>
      <c r="K15" s="12"/>
      <c r="L15" s="2"/>
      <c r="M15" s="12"/>
      <c r="N15" s="10"/>
    </row>
    <row r="16" customFormat="false" ht="15" hidden="false" customHeight="false" outlineLevel="0" collapsed="false">
      <c r="A16" s="6" t="s">
        <v>24</v>
      </c>
      <c r="B16" s="7"/>
      <c r="C16" s="8"/>
      <c r="D16" s="7"/>
      <c r="E16" s="8"/>
      <c r="F16" s="4"/>
      <c r="G16" s="8"/>
      <c r="H16" s="4"/>
      <c r="I16" s="7"/>
      <c r="J16" s="8"/>
      <c r="K16" s="8"/>
      <c r="L16" s="4"/>
      <c r="M16" s="8"/>
      <c r="N16" s="10"/>
    </row>
    <row r="17" customFormat="false" ht="15" hidden="false" customHeight="false" outlineLevel="0" collapsed="false">
      <c r="A17" s="5" t="s">
        <v>25</v>
      </c>
      <c r="B17" s="11" t="n">
        <v>10</v>
      </c>
      <c r="C17" s="12" t="n">
        <f aca="false">B17/B23*100</f>
        <v>0.0111058050042757</v>
      </c>
      <c r="D17" s="11" t="n">
        <v>10</v>
      </c>
      <c r="E17" s="12" t="n">
        <f aca="false">D17/D23*100</f>
        <v>0.00916254352208173</v>
      </c>
      <c r="F17" s="2" t="n">
        <v>100</v>
      </c>
      <c r="G17" s="12" t="n">
        <f aca="false">F17/F23*100</f>
        <v>0.0897706360249562</v>
      </c>
      <c r="H17" s="2" t="n">
        <f aca="false">D17-B17</f>
        <v>0</v>
      </c>
      <c r="I17" s="11" t="n">
        <f aca="false">F17-D17</f>
        <v>90</v>
      </c>
      <c r="J17" s="12" t="n">
        <f aca="false">E17-C16</f>
        <v>0.00916254352208173</v>
      </c>
      <c r="K17" s="12" t="n">
        <f aca="false">G17-E17</f>
        <v>0.0806080925028745</v>
      </c>
      <c r="L17" s="2" t="n">
        <f aca="false">D17/B17*100</f>
        <v>100</v>
      </c>
      <c r="M17" s="12" t="n">
        <f aca="false">F17/D17*100</f>
        <v>1000</v>
      </c>
      <c r="N17" s="10"/>
    </row>
    <row r="18" customFormat="false" ht="15" hidden="false" customHeight="false" outlineLevel="0" collapsed="false">
      <c r="A18" s="5" t="s">
        <v>26</v>
      </c>
      <c r="B18" s="11" t="n">
        <v>74547</v>
      </c>
      <c r="C18" s="12" t="n">
        <f aca="false">B18/B23*100</f>
        <v>82.7904445653743</v>
      </c>
      <c r="D18" s="11" t="n">
        <v>90780</v>
      </c>
      <c r="E18" s="12" t="n">
        <f aca="false">D18/D23*100</f>
        <v>83.1775700934579</v>
      </c>
      <c r="F18" s="2" t="n">
        <v>107100</v>
      </c>
      <c r="G18" s="12" t="n">
        <f aca="false">F18/F23*100</f>
        <v>96.1443511827281</v>
      </c>
      <c r="H18" s="2" t="n">
        <f aca="false">D18-B18</f>
        <v>16233</v>
      </c>
      <c r="I18" s="11" t="n">
        <f aca="false">F18-D18</f>
        <v>16320</v>
      </c>
      <c r="J18" s="12" t="n">
        <f aca="false">E18-C18</f>
        <v>0.387125528083629</v>
      </c>
      <c r="K18" s="12" t="n">
        <f aca="false">G18-E18</f>
        <v>12.9667810892702</v>
      </c>
      <c r="L18" s="2" t="n">
        <f aca="false">D18/B18*100</f>
        <v>121.775524165962</v>
      </c>
      <c r="M18" s="12" t="n">
        <f aca="false">F18/D18*100</f>
        <v>117.977528089888</v>
      </c>
      <c r="N18" s="10"/>
    </row>
    <row r="19" customFormat="false" ht="15" hidden="false" customHeight="false" outlineLevel="0" collapsed="false">
      <c r="A19" s="6" t="s">
        <v>27</v>
      </c>
      <c r="B19" s="7"/>
      <c r="C19" s="8"/>
      <c r="D19" s="7"/>
      <c r="E19" s="8"/>
      <c r="F19" s="4"/>
      <c r="G19" s="8"/>
      <c r="H19" s="4"/>
      <c r="I19" s="7"/>
      <c r="J19" s="8"/>
      <c r="K19" s="8"/>
      <c r="L19" s="4"/>
      <c r="M19" s="8"/>
      <c r="N19" s="15"/>
    </row>
    <row r="20" customFormat="false" ht="15" hidden="false" customHeight="false" outlineLevel="0" collapsed="false">
      <c r="A20" s="6" t="s">
        <v>28</v>
      </c>
      <c r="B20" s="7"/>
      <c r="C20" s="8"/>
      <c r="D20" s="7"/>
      <c r="E20" s="8"/>
      <c r="F20" s="4"/>
      <c r="G20" s="8"/>
      <c r="H20" s="4"/>
      <c r="I20" s="7"/>
      <c r="J20" s="8"/>
      <c r="K20" s="8"/>
      <c r="L20" s="4"/>
      <c r="M20" s="8"/>
      <c r="N20" s="10"/>
    </row>
    <row r="21" customFormat="false" ht="15" hidden="false" customHeight="false" outlineLevel="0" collapsed="false">
      <c r="A21" s="5" t="s">
        <v>29</v>
      </c>
      <c r="B21" s="11" t="n">
        <v>0</v>
      </c>
      <c r="C21" s="12"/>
      <c r="D21" s="11" t="n">
        <v>5090</v>
      </c>
      <c r="E21" s="12" t="n">
        <f aca="false">D21/D23*100</f>
        <v>4.6637346527396</v>
      </c>
      <c r="F21" s="2" t="n">
        <v>2070</v>
      </c>
      <c r="G21" s="12" t="n">
        <f aca="false">F21/F23*100</f>
        <v>1.85825216571659</v>
      </c>
      <c r="H21" s="2" t="n">
        <v>5090</v>
      </c>
      <c r="I21" s="11" t="n">
        <f aca="false">F21-D21</f>
        <v>-3020</v>
      </c>
      <c r="J21" s="12"/>
      <c r="K21" s="12" t="n">
        <f aca="false">G21-E21</f>
        <v>-2.80548248702301</v>
      </c>
      <c r="L21" s="2"/>
      <c r="M21" s="12" t="n">
        <f aca="false">F21/D21*100</f>
        <v>40.6679764243615</v>
      </c>
      <c r="N21" s="10"/>
    </row>
    <row r="22" customFormat="false" ht="15" hidden="false" customHeight="false" outlineLevel="0" collapsed="false">
      <c r="A22" s="5" t="s">
        <v>30</v>
      </c>
      <c r="B22" s="11" t="n">
        <v>15486</v>
      </c>
      <c r="C22" s="12" t="n">
        <f aca="false">B22/B23*100</f>
        <v>17.1984496296214</v>
      </c>
      <c r="D22" s="11" t="n">
        <v>13260</v>
      </c>
      <c r="E22" s="12" t="n">
        <f aca="false">D22/D23*100</f>
        <v>12.1495327102804</v>
      </c>
      <c r="F22" s="2" t="n">
        <v>2125</v>
      </c>
      <c r="G22" s="12" t="n">
        <f aca="false">F22/F23*100</f>
        <v>1.90762601553032</v>
      </c>
      <c r="H22" s="2" t="n">
        <f aca="false">D22-B22</f>
        <v>-2226</v>
      </c>
      <c r="I22" s="11" t="n">
        <f aca="false">F22-D22</f>
        <v>-11135</v>
      </c>
      <c r="J22" s="12" t="n">
        <f aca="false">E22-C22</f>
        <v>-5.04891691934103</v>
      </c>
      <c r="K22" s="12" t="n">
        <f aca="false">G22-E22</f>
        <v>-10.2419066947501</v>
      </c>
      <c r="L22" s="2" t="n">
        <f aca="false">D22/B22*100</f>
        <v>85.6257264626114</v>
      </c>
      <c r="M22" s="12" t="n">
        <f aca="false">F22/D22*100</f>
        <v>16.025641025641</v>
      </c>
      <c r="N22" s="10"/>
    </row>
    <row r="23" customFormat="false" ht="15" hidden="false" customHeight="false" outlineLevel="0" collapsed="false">
      <c r="A23" s="6" t="s">
        <v>22</v>
      </c>
      <c r="B23" s="7" t="n">
        <v>90043</v>
      </c>
      <c r="C23" s="8" t="n">
        <f aca="false">SUM(C17:C22)</f>
        <v>100</v>
      </c>
      <c r="D23" s="7" t="n">
        <v>109140</v>
      </c>
      <c r="E23" s="8" t="n">
        <f aca="false">SUM(E17:E22)</f>
        <v>100</v>
      </c>
      <c r="F23" s="4" t="n">
        <v>111395</v>
      </c>
      <c r="G23" s="8" t="n">
        <f aca="false">SUM(G17:G22)</f>
        <v>100</v>
      </c>
      <c r="H23" s="4" t="n">
        <f aca="false">SUM(H17:H22)</f>
        <v>19097</v>
      </c>
      <c r="I23" s="7" t="n">
        <f aca="false">SUM(I17:I22)</f>
        <v>2255</v>
      </c>
      <c r="J23" s="8" t="n">
        <f aca="false">SUM(J17:J22)</f>
        <v>-4.65262884773532</v>
      </c>
      <c r="K23" s="4" t="n">
        <f aca="false">SUM(K17:K22)</f>
        <v>0</v>
      </c>
      <c r="L23" s="4" t="n">
        <f aca="false">SUM(L17:L22)</f>
        <v>307.401250628574</v>
      </c>
      <c r="M23" s="8" t="n">
        <f aca="false">SUM(M17:M22)</f>
        <v>1174.67114553989</v>
      </c>
      <c r="N23" s="10"/>
    </row>
    <row r="24" customFormat="false" ht="15" hidden="false" customHeight="false" outlineLevel="0" collapsed="false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</sheetData>
  <mergeCells count="8">
    <mergeCell ref="A1:M1"/>
    <mergeCell ref="A2:A3"/>
    <mergeCell ref="B2:C2"/>
    <mergeCell ref="D2:E2"/>
    <mergeCell ref="F2:G2"/>
    <mergeCell ref="H2:I2"/>
    <mergeCell ref="J2:K2"/>
    <mergeCell ref="L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2021-04-05T06:13:09Z</dcterms:created>
  <dc:creator>Бебнева Светлана Владимировна</dc:creator>
  <dc:description/>
  <dc:language>ru-RU</dc:language>
  <cp:lastModifiedBy/>
  <cp:lastPrinted>2021-05-26T16:33:56Z</cp:lastPrinted>
  <dcterms:modified xsi:type="dcterms:W3CDTF">2026-01-30T15:39:41Z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